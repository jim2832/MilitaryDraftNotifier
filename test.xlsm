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itun\Desktop\"/>
    </mc:Choice>
  </mc:AlternateContent>
  <xr:revisionPtr revIDLastSave="0" documentId="13_ncr:1_{93710251-64BA-473D-B2CB-976BA1406B5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1" l="1"/>
  <c r="K4" i="1"/>
  <c r="K5" i="1"/>
  <c r="K2" i="1"/>
</calcChain>
</file>

<file path=xl/sharedStrings.xml><?xml version="1.0" encoding="utf-8"?>
<sst xmlns="http://schemas.openxmlformats.org/spreadsheetml/2006/main" count="35" uniqueCount="29">
  <si>
    <t>序號</t>
    <phoneticPr fontId="1" type="noConversion"/>
  </si>
  <si>
    <t>統號</t>
    <phoneticPr fontId="1" type="noConversion"/>
  </si>
  <si>
    <t>姓名</t>
    <phoneticPr fontId="1" type="noConversion"/>
  </si>
  <si>
    <t>出生日期</t>
    <phoneticPr fontId="1" type="noConversion"/>
  </si>
  <si>
    <t>就學地區</t>
    <phoneticPr fontId="1" type="noConversion"/>
  </si>
  <si>
    <t>出境就學起始日期</t>
    <phoneticPr fontId="1" type="noConversion"/>
  </si>
  <si>
    <t>出境就學終止日期</t>
    <phoneticPr fontId="1" type="noConversion"/>
  </si>
  <si>
    <t>教育程度</t>
    <phoneticPr fontId="1" type="noConversion"/>
  </si>
  <si>
    <t>就讀學校</t>
    <phoneticPr fontId="1" type="noConversion"/>
  </si>
  <si>
    <t>徵集令</t>
    <phoneticPr fontId="1" type="noConversion"/>
  </si>
  <si>
    <t>B123363486</t>
    <phoneticPr fontId="1" type="noConversion"/>
  </si>
  <si>
    <t>吳亮頤</t>
    <phoneticPr fontId="1" type="noConversion"/>
  </si>
  <si>
    <t>國外地區</t>
    <phoneticPr fontId="1" type="noConversion"/>
  </si>
  <si>
    <t>108/9/1</t>
    <phoneticPr fontId="1" type="noConversion"/>
  </si>
  <si>
    <t>114/12/31</t>
    <phoneticPr fontId="1" type="noConversion"/>
  </si>
  <si>
    <t>大學肄業</t>
    <phoneticPr fontId="1" type="noConversion"/>
  </si>
  <si>
    <t>B123455005</t>
    <phoneticPr fontId="1" type="noConversion"/>
  </si>
  <si>
    <t>賴宜鴻</t>
    <phoneticPr fontId="1" type="noConversion"/>
  </si>
  <si>
    <t>107/8/20</t>
    <phoneticPr fontId="1" type="noConversion"/>
  </si>
  <si>
    <t>113/12/31</t>
    <phoneticPr fontId="1" type="noConversion"/>
  </si>
  <si>
    <t>B123473049</t>
    <phoneticPr fontId="1" type="noConversion"/>
  </si>
  <si>
    <t>江長遠</t>
    <phoneticPr fontId="1" type="noConversion"/>
  </si>
  <si>
    <t>107/6/5</t>
    <phoneticPr fontId="1" type="noConversion"/>
  </si>
  <si>
    <t>B123473763</t>
    <phoneticPr fontId="1" type="noConversion"/>
  </si>
  <si>
    <t>蔡隆郡</t>
    <phoneticPr fontId="1" type="noConversion"/>
  </si>
  <si>
    <t>107/9/7</t>
    <phoneticPr fontId="1" type="noConversion"/>
  </si>
  <si>
    <t>距離結束時間</t>
    <phoneticPr fontId="1" type="noConversion"/>
  </si>
  <si>
    <t>114/5/30</t>
    <phoneticPr fontId="1" type="noConversion"/>
  </si>
  <si>
    <t>114/5/15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</si>
</sst>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F400]h:mm:ss\ AM/PM"/>
    <numFmt numFmtId="177" formatCode="[$-800404]e/m/d;@"/>
  </numFmts>
  <fonts count="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K5"/>
  <sheetViews>
    <sheetView tabSelected="1" workbookViewId="0">
      <selection activeCell="A3" sqref="A3"/>
    </sheetView>
  </sheetViews>
  <sheetFormatPr defaultRowHeight="15.75" x14ac:dyDescent="0.25"/>
  <cols>
    <col min="1" max="1" width="9.7109375" customWidth="1"/>
    <col min="2" max="2" width="11" customWidth="1"/>
    <col min="4" max="4" width="9.85546875" style="3" bestFit="1" customWidth="1"/>
    <col min="6" max="6" width="18.42578125" style="1" customWidth="1"/>
    <col min="7" max="7" width="18.42578125" style="2" customWidth="1"/>
    <col min="11" max="11" width="14.42578125" customWidth="1"/>
  </cols>
  <sheetData>
    <row r="1" spans="1:11" x14ac:dyDescent="0.25">
      <c r="A1" t="s">
        <v>0</v>
      </c>
      <c r="B1" t="s">
        <v>1</v>
      </c>
      <c r="C1" t="s">
        <v>2</v>
      </c>
      <c r="D1" s="3" t="s">
        <v>3</v>
      </c>
      <c r="E1" t="s">
        <v>4</v>
      </c>
      <c r="F1" s="1" t="s">
        <v>5</v>
      </c>
      <c r="G1" s="2" t="s">
        <v>6</v>
      </c>
      <c r="H1" t="s">
        <v>7</v>
      </c>
      <c r="I1" t="s">
        <v>8</v>
      </c>
      <c r="J1" t="s">
        <v>9</v>
      </c>
      <c r="K1" t="s">
        <v>26</v>
      </c>
    </row>
    <row r="2" spans="1:11" x14ac:dyDescent="0.25">
      <c r="A2">
        <v>1</v>
      </c>
      <c r="B2" t="s">
        <v>10</v>
      </c>
      <c r="C2" t="s">
        <v>11</v>
      </c>
      <c r="D2" s="3">
        <v>36473</v>
      </c>
      <c r="E2" t="s">
        <v>12</v>
      </c>
      <c r="F2" s="1" t="s">
        <v>13</v>
      </c>
      <c r="G2" s="2" t="s">
        <v>14</v>
      </c>
      <c r="H2" t="s">
        <v>15</v>
      </c>
      <c r="K2" s="4">
        <f ca="1">-(TODAY() - DATE(VALUE(LEFT(G2,FIND("/",G2)-1))+1911, VALUE(MID(G2,FIND("/",G2)+1,FIND("/",G2, FIND("/",G2)+1)-FIND("/",G2)-1)), VALUE(RIGHT(G2, LEN(G2) - FIND("/",G2, FIND("/",G2)+1)))))</f>
        <v>240</v>
      </c>
    </row>
    <row r="3" spans="1:11" x14ac:dyDescent="0.25">
      <c r="A3">
        <v>2</v>
      </c>
      <c r="B3" t="s">
        <v>16</v>
      </c>
      <c r="C3" t="s">
        <v>17</v>
      </c>
      <c r="D3" s="3">
        <v>36607</v>
      </c>
      <c r="E3" t="s">
        <v>12</v>
      </c>
      <c r="F3" s="1" t="s">
        <v>18</v>
      </c>
      <c r="G3" s="2" t="s">
        <v>19</v>
      </c>
      <c r="H3" t="s">
        <v>15</v>
      </c>
      <c r="K3" s="4">
        <f t="shared" ref="K3:K5" ca="1" si="0">-(TODAY() - DATE(VALUE(LEFT(G3,FIND("/",G3)-1))+1911, VALUE(MID(G3,FIND("/",G3)+1,FIND("/",G3, FIND("/",G3)+1)-FIND("/",G3)-1)), VALUE(RIGHT(G3, LEN(G3) - FIND("/",G3, FIND("/",G3)+1)))))</f>
        <v>-125</v>
      </c>
    </row>
    <row r="4" spans="1:11" x14ac:dyDescent="0.25">
      <c r="A4">
        <v>3</v>
      </c>
      <c r="B4" t="s">
        <v>20</v>
      </c>
      <c r="C4" t="s">
        <v>21</v>
      </c>
      <c r="D4" s="3">
        <v>36694</v>
      </c>
      <c r="E4" t="s">
        <v>12</v>
      </c>
      <c r="F4" s="1" t="s">
        <v>22</v>
      </c>
      <c r="G4" s="2" t="s">
        <v>27</v>
      </c>
      <c r="H4" t="s">
        <v>15</v>
      </c>
      <c r="K4" s="4">
        <f t="shared" ca="1" si="0"/>
        <v>25</v>
      </c>
    </row>
    <row r="5" spans="1:11" x14ac:dyDescent="0.25">
      <c r="A5">
        <v>4</v>
      </c>
      <c r="B5" t="s">
        <v>23</v>
      </c>
      <c r="C5" t="s">
        <v>24</v>
      </c>
      <c r="D5" s="3">
        <v>36805</v>
      </c>
      <c r="E5" t="s">
        <v>12</v>
      </c>
      <c r="F5" s="1" t="s">
        <v>25</v>
      </c>
      <c r="G5" s="2" t="s">
        <v>28</v>
      </c>
      <c r="H5" t="s">
        <v>15</v>
      </c>
      <c r="K5" s="4">
        <f t="shared" ca="1" si="0"/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北屯公所共用帳號</dc:creator>
  <cp:lastModifiedBy>北屯公所共用帳號</cp:lastModifiedBy>
  <dcterms:created xsi:type="dcterms:W3CDTF">2015-06-05T18:17:20Z</dcterms:created>
  <dcterms:modified xsi:type="dcterms:W3CDTF">2025-05-05T07:21:43Z</dcterms:modified>
</cp:coreProperties>
</file>